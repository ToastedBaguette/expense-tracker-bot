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ptember 2026" state="visible" r:id="rId4"/>
  </sheets>
  <calcPr calcId="171027"/>
</workbook>
</file>

<file path=xl/sharedStrings.xml><?xml version="1.0" encoding="utf-8"?>
<sst xmlns="http://schemas.openxmlformats.org/spreadsheetml/2006/main" count="41" uniqueCount="26">
  <si>
    <t>Date</t>
  </si>
  <si>
    <t>Category</t>
  </si>
  <si>
    <t>Description</t>
  </si>
  <si>
    <t>Amount</t>
  </si>
  <si>
    <t>Source</t>
  </si>
  <si>
    <t>Total Expenses</t>
  </si>
  <si>
    <t>Income</t>
  </si>
  <si>
    <t>Remaining Budget</t>
  </si>
  <si>
    <t>Living</t>
  </si>
  <si>
    <t>Kost Bulanan</t>
  </si>
  <si>
    <t>BCA</t>
  </si>
  <si>
    <t>Food</t>
  </si>
  <si>
    <t>Makan Siang Warteg</t>
  </si>
  <si>
    <t>Transport</t>
  </si>
  <si>
    <t>Grab ke Kantor</t>
  </si>
  <si>
    <t>Seabank</t>
  </si>
  <si>
    <t>Total</t>
  </si>
  <si>
    <t>Kopi Kenangan</t>
  </si>
  <si>
    <t>Gopay</t>
  </si>
  <si>
    <t>Reimburse Makan Hans</t>
  </si>
  <si>
    <t>Family</t>
  </si>
  <si>
    <t>Entertainment</t>
  </si>
  <si>
    <t>Other</t>
  </si>
  <si>
    <t>Grab</t>
  </si>
  <si>
    <t>Superbank</t>
  </si>
  <si>
    <t>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</si>
</sst>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-mmm-yyyy"/>
    <numFmt numFmtId="165" formatCode="&quot;Rp&quot;#,##0;(&quot;Rp&quot;#,##0);&quot;-&quot;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E74C3C"/>
    </font>
    <font>
      <b/>
      <color rgb="FF27AE60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7F8C8D"/>
      </patternFill>
    </fill>
    <fill>
      <patternFill patternType="solid">
        <fgColor rgb="FF2980B9"/>
      </patternFill>
    </fill>
    <fill>
      <patternFill patternType="solid">
        <fgColor rgb="FF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5" fontId="2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0"/>
  <sheetViews>
    <sheetView workbookViewId="0"/>
  </sheetViews>
  <sheetFormatPr defaultRowHeight="15" outlineLevelRow="0" outlineLevelCol="0" x14ac:dyDescent="55"/>
  <cols>
    <col min="1" max="1" width="3" customWidth="1"/>
    <col min="2" max="2" width="14" customWidth="1"/>
    <col min="3" max="3" width="16" customWidth="1"/>
    <col min="4" max="4" width="28" customWidth="1"/>
    <col min="5" max="5" width="16" customWidth="1"/>
    <col min="6" max="6" width="14" customWidth="1"/>
    <col min="7" max="7" width="4" customWidth="1"/>
    <col min="8" max="8" width="14" customWidth="1"/>
    <col min="9" max="9" width="16" customWidth="1"/>
    <col min="10" max="10" width="4" customWidth="1"/>
    <col min="11" max="11" width="16" customWidth="1"/>
    <col min="12" max="13" width="18" customWidth="1"/>
  </cols>
  <sheetData>
    <row r="2" spans="2:13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H2" s="2" t="s">
        <v>0</v>
      </c>
      <c r="I2" s="2" t="s">
        <v>5</v>
      </c>
      <c r="K2" s="3" t="s">
        <v>6</v>
      </c>
      <c r="L2" s="1" t="s">
        <v>5</v>
      </c>
      <c r="M2" s="4" t="s">
        <v>7</v>
      </c>
    </row>
    <row r="3" spans="2:13" x14ac:dyDescent="0.25">
      <c r="B3" s="5">
        <v>46266</v>
      </c>
      <c r="C3" t="s">
        <v>8</v>
      </c>
      <c r="D3" t="s">
        <v>9</v>
      </c>
      <c r="E3" s="6">
        <v>1500000</v>
      </c>
      <c r="F3" t="s">
        <v>10</v>
      </c>
      <c r="H3" s="5">
        <v>46266</v>
      </c>
      <c r="I3" s="6">
        <f>SUMIF($B$3:$B$996, H3, $E$3:$E$996)</f>
      </c>
      <c r="K3" s="7">
        <v>9800000</v>
      </c>
      <c r="L3" s="8">
        <f>SUM(L6:L11)</f>
      </c>
      <c r="M3" s="9">
        <f>K3-L3</f>
      </c>
    </row>
    <row r="4" spans="2:9" x14ac:dyDescent="0.25">
      <c r="B4" s="5">
        <v>46266</v>
      </c>
      <c r="C4" t="s">
        <v>11</v>
      </c>
      <c r="D4" t="s">
        <v>12</v>
      </c>
      <c r="E4" s="6">
        <v>25000</v>
      </c>
      <c r="F4" t="s">
        <v>10</v>
      </c>
      <c r="H4" s="5">
        <v>46267</v>
      </c>
      <c r="I4" s="6">
        <f>SUMIF($B$3:$B$996, H4, $E$3:$E$996)</f>
      </c>
    </row>
    <row r="5" spans="2:12" x14ac:dyDescent="0.25">
      <c r="B5" s="5">
        <v>46267</v>
      </c>
      <c r="C5" t="s">
        <v>13</v>
      </c>
      <c r="D5" t="s">
        <v>14</v>
      </c>
      <c r="E5" s="6">
        <v>32000</v>
      </c>
      <c r="F5" t="s">
        <v>15</v>
      </c>
      <c r="H5" s="5">
        <v>46268</v>
      </c>
      <c r="I5" s="6">
        <f>SUMIF($B$3:$B$996, H5, $E$3:$E$996)</f>
      </c>
      <c r="K5" s="10" t="s">
        <v>1</v>
      </c>
      <c r="L5" s="10" t="s">
        <v>16</v>
      </c>
    </row>
    <row r="6" spans="2:12" x14ac:dyDescent="0.25">
      <c r="B6" s="5">
        <v>46267</v>
      </c>
      <c r="C6" t="s">
        <v>11</v>
      </c>
      <c r="D6" t="s">
        <v>17</v>
      </c>
      <c r="E6" s="6">
        <v>22000</v>
      </c>
      <c r="F6" t="s">
        <v>18</v>
      </c>
      <c r="H6" s="5">
        <v>46269</v>
      </c>
      <c r="I6" s="6">
        <f>SUMIF($B$3:$B$996, H6, $E$3:$E$996)</f>
      </c>
      <c r="K6" t="s">
        <v>11</v>
      </c>
      <c r="L6" s="6">
        <f>SUMIF($C$3:$C$996, K6, $E$3:$E$996)</f>
      </c>
    </row>
    <row r="7" spans="2:12" x14ac:dyDescent="0.25">
      <c r="B7" s="5">
        <v>46268</v>
      </c>
      <c r="C7" t="s">
        <v>11</v>
      </c>
      <c r="D7" t="s">
        <v>19</v>
      </c>
      <c r="E7" s="6">
        <v>-50000</v>
      </c>
      <c r="F7" t="s">
        <v>10</v>
      </c>
      <c r="H7" s="5">
        <v>46270</v>
      </c>
      <c r="I7" s="6">
        <f>SUMIF($B$3:$B$996, H7, $E$3:$E$996)</f>
      </c>
      <c r="K7" t="s">
        <v>8</v>
      </c>
      <c r="L7" s="6">
        <f>SUMIF($C$3:$C$996, K7, $E$3:$E$996)</f>
      </c>
    </row>
    <row r="8" spans="2:12" x14ac:dyDescent="0.25">
      <c r="B8" s="5"/>
      <c r="E8" s="6"/>
      <c r="H8" s="5">
        <v>46271</v>
      </c>
      <c r="I8" s="6">
        <f>SUMIF($B$3:$B$996, H8, $E$3:$E$996)</f>
      </c>
      <c r="K8" t="s">
        <v>13</v>
      </c>
      <c r="L8" s="6">
        <f>SUMIF($C$3:$C$996, K8, $E$3:$E$996)</f>
      </c>
    </row>
    <row r="9" spans="2:12" x14ac:dyDescent="0.25">
      <c r="B9" s="5"/>
      <c r="E9" s="6"/>
      <c r="H9" s="5">
        <v>46272</v>
      </c>
      <c r="I9" s="6">
        <f>SUMIF($B$3:$B$996, H9, $E$3:$E$996)</f>
      </c>
      <c r="K9" t="s">
        <v>20</v>
      </c>
      <c r="L9" s="6">
        <f>SUMIF($C$3:$C$996, K9, $E$3:$E$996)</f>
      </c>
    </row>
    <row r="10" spans="2:12" x14ac:dyDescent="0.25">
      <c r="B10" s="5"/>
      <c r="E10" s="6"/>
      <c r="H10" s="5">
        <v>46273</v>
      </c>
      <c r="I10" s="6">
        <f>SUMIF($B$3:$B$996, H10, $E$3:$E$996)</f>
      </c>
      <c r="K10" t="s">
        <v>21</v>
      </c>
      <c r="L10" s="6">
        <f>SUMIF($C$3:$C$996, K10, $E$3:$E$996)</f>
      </c>
    </row>
    <row r="11" spans="2:12" x14ac:dyDescent="0.25">
      <c r="B11" s="5"/>
      <c r="E11" s="6"/>
      <c r="H11" s="5">
        <v>46274</v>
      </c>
      <c r="I11" s="6">
        <f>SUMIF($B$3:$B$996, H11, $E$3:$E$996)</f>
      </c>
      <c r="K11" t="s">
        <v>22</v>
      </c>
      <c r="L11" s="6">
        <f>SUMIF($C$3:$C$996, K11, $E$3:$E$996)</f>
      </c>
    </row>
    <row r="12" spans="2:9" x14ac:dyDescent="0.25">
      <c r="B12" s="5"/>
      <c r="E12" s="6"/>
      <c r="H12" s="5">
        <v>46275</v>
      </c>
      <c r="I12" s="6">
        <f>SUMIF($B$3:$B$996, H12, $E$3:$E$996)</f>
      </c>
    </row>
    <row r="13" spans="2:12" x14ac:dyDescent="0.25">
      <c r="B13" s="5"/>
      <c r="E13" s="6"/>
      <c r="H13" s="5">
        <v>46276</v>
      </c>
      <c r="I13" s="6">
        <f>SUMIF($B$3:$B$996, H13, $E$3:$E$996)</f>
      </c>
      <c r="K13" s="10" t="s">
        <v>4</v>
      </c>
      <c r="L13" s="10" t="s">
        <v>16</v>
      </c>
    </row>
    <row r="14" spans="2:12" x14ac:dyDescent="0.25">
      <c r="B14" s="5"/>
      <c r="E14" s="6"/>
      <c r="H14" s="5">
        <v>46277</v>
      </c>
      <c r="I14" s="6">
        <f>SUMIF($B$3:$B$996, H14, $E$3:$E$996)</f>
      </c>
      <c r="K14" t="s">
        <v>10</v>
      </c>
      <c r="L14" s="6">
        <f>SUMIF($F$3:$F$996, K14, $E$3:$E$996)</f>
      </c>
    </row>
    <row r="15" spans="2:12" x14ac:dyDescent="0.25">
      <c r="B15" s="5"/>
      <c r="E15" s="6"/>
      <c r="H15" s="5">
        <v>46278</v>
      </c>
      <c r="I15" s="6">
        <f>SUMIF($B$3:$B$996, H15, $E$3:$E$996)</f>
      </c>
      <c r="K15" t="s">
        <v>15</v>
      </c>
      <c r="L15" s="6">
        <f>SUMIF($F$3:$F$996, K15, $E$3:$E$996)</f>
      </c>
    </row>
    <row r="16" spans="2:12" x14ac:dyDescent="0.25">
      <c r="B16" s="5"/>
      <c r="E16" s="6"/>
      <c r="H16" s="5">
        <v>46279</v>
      </c>
      <c r="I16" s="6">
        <f>SUMIF($B$3:$B$996, H16, $E$3:$E$996)</f>
      </c>
      <c r="K16" t="s">
        <v>23</v>
      </c>
      <c r="L16" s="6">
        <f>SUMIF($F$3:$F$996, K16, $E$3:$E$996)</f>
      </c>
    </row>
    <row r="17" spans="2:12" x14ac:dyDescent="0.25">
      <c r="B17" s="5"/>
      <c r="E17" s="6"/>
      <c r="H17" s="5">
        <v>46280</v>
      </c>
      <c r="I17" s="6">
        <f>SUMIF($B$3:$B$996, H17, $E$3:$E$996)</f>
      </c>
      <c r="K17" t="s">
        <v>24</v>
      </c>
      <c r="L17" s="6">
        <f>SUMIF($F$3:$F$996, K17, $E$3:$E$996)</f>
      </c>
    </row>
    <row r="18" spans="2:12" x14ac:dyDescent="0.25">
      <c r="B18" s="5"/>
      <c r="E18" s="6"/>
      <c r="H18" s="5">
        <v>46281</v>
      </c>
      <c r="I18" s="6">
        <f>SUMIF($B$3:$B$996, H18, $E$3:$E$996)</f>
      </c>
      <c r="K18" t="s">
        <v>18</v>
      </c>
      <c r="L18" s="6">
        <f>SUMIF($F$3:$F$996, K18, $E$3:$E$996)</f>
      </c>
    </row>
    <row r="19" spans="2:12" x14ac:dyDescent="0.25">
      <c r="B19" s="5"/>
      <c r="E19" s="6"/>
      <c r="H19" s="5">
        <v>46282</v>
      </c>
      <c r="I19" s="6">
        <f>SUMIF($B$3:$B$996, H19, $E$3:$E$996)</f>
      </c>
      <c r="K19" t="s">
        <v>25</v>
      </c>
      <c r="L19" s="6">
        <f>SUMIF($F$3:$F$996, K19, $E$3:$E$996)</f>
      </c>
    </row>
    <row r="20" spans="2:9" x14ac:dyDescent="0.25">
      <c r="B20" s="5"/>
      <c r="E20" s="6"/>
      <c r="H20" s="5">
        <v>46283</v>
      </c>
      <c r="I20" s="6">
        <f>SUMIF($B$3:$B$996, H20, $E$3:$E$996)</f>
      </c>
    </row>
    <row r="21" spans="2:9" x14ac:dyDescent="0.25">
      <c r="B21" s="5"/>
      <c r="E21" s="6"/>
      <c r="H21" s="5">
        <v>46284</v>
      </c>
      <c r="I21" s="6">
        <f>SUMIF($B$3:$B$996, H21, $E$3:$E$996)</f>
      </c>
    </row>
    <row r="22" spans="2:9" x14ac:dyDescent="0.25">
      <c r="B22" s="5"/>
      <c r="E22" s="6"/>
      <c r="H22" s="5">
        <v>46285</v>
      </c>
      <c r="I22" s="6">
        <f>SUMIF($B$3:$B$996, H22, $E$3:$E$996)</f>
      </c>
    </row>
    <row r="23" spans="2:9" x14ac:dyDescent="0.25">
      <c r="B23" s="5"/>
      <c r="E23" s="6"/>
      <c r="H23" s="5">
        <v>46286</v>
      </c>
      <c r="I23" s="6">
        <f>SUMIF($B$3:$B$996, H23, $E$3:$E$996)</f>
      </c>
    </row>
    <row r="24" spans="2:9" x14ac:dyDescent="0.25">
      <c r="B24" s="5"/>
      <c r="E24" s="6"/>
      <c r="H24" s="5">
        <v>46287</v>
      </c>
      <c r="I24" s="6">
        <f>SUMIF($B$3:$B$996, H24, $E$3:$E$996)</f>
      </c>
    </row>
    <row r="25" spans="2:9" x14ac:dyDescent="0.25">
      <c r="B25" s="5"/>
      <c r="E25" s="6"/>
      <c r="H25" s="5">
        <v>46288</v>
      </c>
      <c r="I25" s="6">
        <f>SUMIF($B$3:$B$996, H25, $E$3:$E$996)</f>
      </c>
    </row>
    <row r="26" spans="2:9" x14ac:dyDescent="0.25">
      <c r="B26" s="5"/>
      <c r="E26" s="6"/>
      <c r="H26" s="5">
        <v>46289</v>
      </c>
      <c r="I26" s="6">
        <f>SUMIF($B$3:$B$996, H26, $E$3:$E$996)</f>
      </c>
    </row>
    <row r="27" spans="2:9" x14ac:dyDescent="0.25">
      <c r="B27" s="5"/>
      <c r="E27" s="6"/>
      <c r="H27" s="5">
        <v>46290</v>
      </c>
      <c r="I27" s="6">
        <f>SUMIF($B$3:$B$996, H27, $E$3:$E$996)</f>
      </c>
    </row>
    <row r="28" spans="2:9" x14ac:dyDescent="0.25">
      <c r="B28" s="5"/>
      <c r="E28" s="6"/>
      <c r="H28" s="5">
        <v>46291</v>
      </c>
      <c r="I28" s="6">
        <f>SUMIF($B$3:$B$996, H28, $E$3:$E$996)</f>
      </c>
    </row>
    <row r="29" spans="2:9" x14ac:dyDescent="0.25">
      <c r="B29" s="5"/>
      <c r="E29" s="6"/>
      <c r="H29" s="5">
        <v>46292</v>
      </c>
      <c r="I29" s="6">
        <f>SUMIF($B$3:$B$996, H29, $E$3:$E$996)</f>
      </c>
    </row>
    <row r="30" spans="2:9" x14ac:dyDescent="0.25">
      <c r="B30" s="5"/>
      <c r="E30" s="6"/>
      <c r="H30" s="5">
        <v>46293</v>
      </c>
      <c r="I30" s="6">
        <f>SUMIF($B$3:$B$996, H30, $E$3:$E$996)</f>
      </c>
    </row>
    <row r="31" spans="2:9" x14ac:dyDescent="0.25">
      <c r="B31" s="5"/>
      <c r="E31" s="6"/>
      <c r="H31" s="5">
        <v>46294</v>
      </c>
      <c r="I31" s="6">
        <f>SUMIF($B$3:$B$996, H31, $E$3:$E$996)</f>
      </c>
    </row>
    <row r="32" spans="2:9" x14ac:dyDescent="0.25">
      <c r="B32" s="5"/>
      <c r="E32" s="6"/>
      <c r="H32" s="5">
        <v>46295</v>
      </c>
      <c r="I32" s="6">
        <f>SUMIF($B$3:$B$996, H32, $E$3:$E$996)</f>
      </c>
    </row>
    <row r="33" spans="2:9" x14ac:dyDescent="0.25">
      <c r="B33" s="5"/>
      <c r="E33" s="6"/>
      <c r="H33" s="5">
        <v>46296</v>
      </c>
      <c r="I33" s="6">
        <f>SUMIF($B$3:$B$996, H33, $E$3:$E$996)</f>
      </c>
    </row>
    <row r="34" spans="2:5" x14ac:dyDescent="0.25">
      <c r="B34" s="5"/>
      <c r="E34" s="6"/>
    </row>
    <row r="35" spans="2:5" x14ac:dyDescent="0.25">
      <c r="B35" s="5"/>
      <c r="E35" s="6"/>
    </row>
    <row r="36" spans="2:5" x14ac:dyDescent="0.25">
      <c r="B36" s="5"/>
      <c r="E36" s="6"/>
    </row>
    <row r="37" spans="2:5" x14ac:dyDescent="0.25">
      <c r="B37" s="5"/>
      <c r="E37" s="6"/>
    </row>
    <row r="38" spans="2:5" x14ac:dyDescent="0.25">
      <c r="B38" s="5"/>
      <c r="E38" s="6"/>
    </row>
    <row r="39" spans="2:5" x14ac:dyDescent="0.25">
      <c r="B39" s="5"/>
      <c r="E39" s="6"/>
    </row>
    <row r="40" spans="2:5" x14ac:dyDescent="0.25">
      <c r="B40" s="5"/>
      <c r="E40" s="6"/>
    </row>
    <row r="41" spans="2:5" x14ac:dyDescent="0.25">
      <c r="B41" s="5"/>
      <c r="E41" s="6"/>
    </row>
    <row r="42" spans="2:5" x14ac:dyDescent="0.25">
      <c r="B42" s="5"/>
      <c r="E42" s="6"/>
    </row>
    <row r="43" spans="2:5" x14ac:dyDescent="0.25">
      <c r="B43" s="5"/>
      <c r="E43" s="6"/>
    </row>
    <row r="44" spans="2:5" x14ac:dyDescent="0.25">
      <c r="B44" s="5"/>
      <c r="E44" s="6"/>
    </row>
    <row r="45" spans="2:5" x14ac:dyDescent="0.25">
      <c r="B45" s="5"/>
      <c r="E45" s="6"/>
    </row>
    <row r="46" spans="2:5" x14ac:dyDescent="0.25">
      <c r="B46" s="5"/>
      <c r="E46" s="6"/>
    </row>
    <row r="47" spans="2:5" x14ac:dyDescent="0.25">
      <c r="B47" s="5"/>
      <c r="E47" s="6"/>
    </row>
    <row r="48" spans="2:5" x14ac:dyDescent="0.25">
      <c r="B48" s="5"/>
      <c r="E48" s="6"/>
    </row>
    <row r="49" spans="2:5" x14ac:dyDescent="0.25">
      <c r="B49" s="5"/>
      <c r="E49" s="6"/>
    </row>
    <row r="50" spans="2:5" x14ac:dyDescent="0.25">
      <c r="B50" s="5"/>
      <c r="E50" s="6"/>
    </row>
    <row r="51" spans="2:5" x14ac:dyDescent="0.25">
      <c r="B51" s="5"/>
      <c r="E51" s="6"/>
    </row>
    <row r="52" spans="2:5" x14ac:dyDescent="0.25">
      <c r="B52" s="5"/>
      <c r="E52" s="6"/>
    </row>
    <row r="53" spans="2:5" x14ac:dyDescent="0.25">
      <c r="B53" s="5"/>
      <c r="E53" s="6"/>
    </row>
    <row r="54" spans="2:5" x14ac:dyDescent="0.25">
      <c r="B54" s="5"/>
      <c r="E54" s="6"/>
    </row>
    <row r="55" spans="2:5" x14ac:dyDescent="0.25">
      <c r="B55" s="5"/>
      <c r="E55" s="6"/>
    </row>
    <row r="56" spans="2:5" x14ac:dyDescent="0.25">
      <c r="B56" s="5"/>
      <c r="E56" s="6"/>
    </row>
    <row r="57" spans="2:5" x14ac:dyDescent="0.25">
      <c r="B57" s="5"/>
      <c r="E57" s="6"/>
    </row>
    <row r="58" spans="2:5" x14ac:dyDescent="0.25">
      <c r="B58" s="5"/>
      <c r="E58" s="6"/>
    </row>
    <row r="59" spans="2:5" x14ac:dyDescent="0.25">
      <c r="B59" s="5"/>
      <c r="E59" s="6"/>
    </row>
    <row r="60" spans="2:5" x14ac:dyDescent="0.25">
      <c r="B60" s="5"/>
      <c r="E60" s="6"/>
    </row>
    <row r="61" spans="2:5" x14ac:dyDescent="0.25">
      <c r="B61" s="5"/>
      <c r="E61" s="6"/>
    </row>
    <row r="62" spans="2:5" x14ac:dyDescent="0.25">
      <c r="B62" s="5"/>
      <c r="E62" s="6"/>
    </row>
    <row r="63" spans="2:5" x14ac:dyDescent="0.25">
      <c r="B63" s="5"/>
      <c r="E63" s="6"/>
    </row>
    <row r="64" spans="2:5" x14ac:dyDescent="0.25">
      <c r="B64" s="5"/>
      <c r="E64" s="6"/>
    </row>
    <row r="65" spans="2:5" x14ac:dyDescent="0.25">
      <c r="B65" s="5"/>
      <c r="E65" s="6"/>
    </row>
    <row r="66" spans="2:5" x14ac:dyDescent="0.25">
      <c r="B66" s="5"/>
      <c r="E66" s="6"/>
    </row>
    <row r="67" spans="2:5" x14ac:dyDescent="0.25">
      <c r="B67" s="5"/>
      <c r="E67" s="6"/>
    </row>
    <row r="68" spans="2:5" x14ac:dyDescent="0.25">
      <c r="B68" s="5"/>
      <c r="E68" s="6"/>
    </row>
    <row r="69" spans="2:5" x14ac:dyDescent="0.25">
      <c r="B69" s="5"/>
      <c r="E69" s="6"/>
    </row>
    <row r="70" spans="2:5" x14ac:dyDescent="0.25">
      <c r="B70" s="5"/>
      <c r="E70" s="6"/>
    </row>
    <row r="71" spans="2:5" x14ac:dyDescent="0.25">
      <c r="B71" s="5"/>
      <c r="E71" s="6"/>
    </row>
    <row r="72" spans="2:5" x14ac:dyDescent="0.25">
      <c r="B72" s="5"/>
      <c r="E72" s="6"/>
    </row>
    <row r="73" spans="2:5" x14ac:dyDescent="0.25">
      <c r="B73" s="5"/>
      <c r="E73" s="6"/>
    </row>
    <row r="74" spans="2:5" x14ac:dyDescent="0.25">
      <c r="B74" s="5"/>
      <c r="E74" s="6"/>
    </row>
    <row r="75" spans="2:5" x14ac:dyDescent="0.25">
      <c r="B75" s="5"/>
      <c r="E75" s="6"/>
    </row>
    <row r="76" spans="2:5" x14ac:dyDescent="0.25">
      <c r="B76" s="5"/>
      <c r="E76" s="6"/>
    </row>
    <row r="77" spans="2:5" x14ac:dyDescent="0.25">
      <c r="B77" s="5"/>
      <c r="E77" s="6"/>
    </row>
    <row r="78" spans="2:5" x14ac:dyDescent="0.25">
      <c r="B78" s="5"/>
      <c r="E78" s="6"/>
    </row>
    <row r="79" spans="2:5" x14ac:dyDescent="0.25">
      <c r="B79" s="5"/>
      <c r="E79" s="6"/>
    </row>
    <row r="80" spans="2:5" x14ac:dyDescent="0.25">
      <c r="B80" s="5"/>
      <c r="E80" s="6"/>
    </row>
    <row r="81" spans="2:5" x14ac:dyDescent="0.25">
      <c r="B81" s="5"/>
      <c r="E81" s="6"/>
    </row>
    <row r="82" spans="2:5" x14ac:dyDescent="0.25">
      <c r="B82" s="5"/>
      <c r="E82" s="6"/>
    </row>
    <row r="83" spans="2:5" x14ac:dyDescent="0.25">
      <c r="B83" s="5"/>
      <c r="E83" s="6"/>
    </row>
    <row r="84" spans="2:5" x14ac:dyDescent="0.25">
      <c r="B84" s="5"/>
      <c r="E84" s="6"/>
    </row>
    <row r="85" spans="2:5" x14ac:dyDescent="0.25">
      <c r="B85" s="5"/>
      <c r="E85" s="6"/>
    </row>
    <row r="86" spans="2:5" x14ac:dyDescent="0.25">
      <c r="B86" s="5"/>
      <c r="E86" s="6"/>
    </row>
    <row r="87" spans="2:5" x14ac:dyDescent="0.25">
      <c r="B87" s="5"/>
      <c r="E87" s="6"/>
    </row>
    <row r="88" spans="2:5" x14ac:dyDescent="0.25">
      <c r="B88" s="5"/>
      <c r="E88" s="6"/>
    </row>
    <row r="89" spans="2:5" x14ac:dyDescent="0.25">
      <c r="B89" s="5"/>
      <c r="E89" s="6"/>
    </row>
    <row r="90" spans="2:5" x14ac:dyDescent="0.25">
      <c r="B90" s="5"/>
      <c r="E90" s="6"/>
    </row>
    <row r="91" spans="2:5" x14ac:dyDescent="0.25">
      <c r="B91" s="5"/>
      <c r="E91" s="6"/>
    </row>
    <row r="92" spans="2:5" x14ac:dyDescent="0.25">
      <c r="B92" s="5"/>
      <c r="E92" s="6"/>
    </row>
    <row r="93" spans="2:5" x14ac:dyDescent="0.25">
      <c r="B93" s="5"/>
      <c r="E93" s="6"/>
    </row>
    <row r="94" spans="2:5" x14ac:dyDescent="0.25">
      <c r="B94" s="5"/>
      <c r="E94" s="6"/>
    </row>
    <row r="95" spans="2:5" x14ac:dyDescent="0.25">
      <c r="B95" s="5"/>
      <c r="E95" s="6"/>
    </row>
    <row r="96" spans="2:5" x14ac:dyDescent="0.25">
      <c r="B96" s="5"/>
      <c r="E96" s="6"/>
    </row>
    <row r="97" spans="2:5" x14ac:dyDescent="0.25">
      <c r="B97" s="5"/>
      <c r="E97" s="6"/>
    </row>
    <row r="98" spans="2:5" x14ac:dyDescent="0.25">
      <c r="B98" s="5"/>
      <c r="E98" s="6"/>
    </row>
    <row r="99" spans="2:5" x14ac:dyDescent="0.25">
      <c r="B99" s="5"/>
      <c r="E99" s="6"/>
    </row>
    <row r="100" spans="2:5" x14ac:dyDescent="0.25">
      <c r="B100" s="5"/>
      <c r="E100" s="6"/>
    </row>
  </sheetData>
  <dataValidations count="2">
    <dataValidation type="list" allowBlank="1" showErrorMessage="1" errorTitle="Invalid Category" error="Please select a valid category from the list" sqref="C3:C996">
      <formula1>"Food,Living,Transport,Family,Entertainment,Other"</formula1>
    </dataValidation>
    <dataValidation type="list" allowBlank="1" showErrorMessage="1" errorTitle="Invalid Source" error="Please select a valid payment source from the list" sqref="F3:F996">
      <formula1>"BCA,Seabank,Grab,Superbank,Gopay,OVO"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Expense Tracker Bot</dc:creator>
  <dc:title/>
  <dc:subject/>
  <dc:description/>
  <cp:keywords/>
  <cp:category/>
  <cp:lastModifiedBy>Unknown</cp:lastModifiedBy>
  <dcterms:created xsi:type="dcterms:W3CDTF">2026-09-06T10:10:01Z</dcterms:created>
  <dcterms:modified xsi:type="dcterms:W3CDTF">2026-09-06T10:10:01Z</dcterms:modified>
</cp:coreProperties>
</file>